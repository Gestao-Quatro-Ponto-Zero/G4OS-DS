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s a receber" state="visible" r:id="rId4"/>
    <sheet sheetId="2" name="Resumo por cliente" state="visible" r:id="rId5"/>
  </sheets>
  <calcPr calcId="171027"/>
</workbook>
</file>

<file path=xl/sharedStrings.xml><?xml version="1.0" encoding="utf-8"?>
<sst xmlns="http://schemas.openxmlformats.org/spreadsheetml/2006/main" count="53" uniqueCount="37">
  <si>
    <t>Contas a receber · outubro 2026</t>
  </si>
  <si>
    <t>Fonte: ERP, atualizado em 03/10/2026</t>
  </si>
  <si>
    <t>Cliente</t>
  </si>
  <si>
    <t>Documento</t>
  </si>
  <si>
    <t>Emissão</t>
  </si>
  <si>
    <t>Vencimento</t>
  </si>
  <si>
    <t>Valor</t>
  </si>
  <si>
    <t>Juros</t>
  </si>
  <si>
    <t>Total</t>
  </si>
  <si>
    <t>Acme Logística</t>
  </si>
  <si>
    <t>NF-4120</t>
  </si>
  <si>
    <t>Nexo Saúde</t>
  </si>
  <si>
    <t>NF-4121</t>
  </si>
  <si>
    <t>Vértice Engenharia</t>
  </si>
  <si>
    <t>NF-4122</t>
  </si>
  <si>
    <t>Lumen Varejo</t>
  </si>
  <si>
    <t>NF-4123</t>
  </si>
  <si>
    <t>Orbe Seguros</t>
  </si>
  <si>
    <t>NF-4124</t>
  </si>
  <si>
    <t>Pátria Agro</t>
  </si>
  <si>
    <t>NF-4125</t>
  </si>
  <si>
    <t>Rota Transportes</t>
  </si>
  <si>
    <t>NF-4126</t>
  </si>
  <si>
    <t>Delta Têxtil</t>
  </si>
  <si>
    <t>NF-4127</t>
  </si>
  <si>
    <t>Fator Educação</t>
  </si>
  <si>
    <t>NF-4128</t>
  </si>
  <si>
    <t>Prisma Energia</t>
  </si>
  <si>
    <t>NF-4129</t>
  </si>
  <si>
    <t>Aurora Foods</t>
  </si>
  <si>
    <t>NF-4130</t>
  </si>
  <si>
    <t>Trilha Turismo</t>
  </si>
  <si>
    <t>NF-4131</t>
  </si>
  <si>
    <t>NF-4132</t>
  </si>
  <si>
    <t>NF-4133</t>
  </si>
  <si>
    <t>Títulos</t>
  </si>
  <si>
    <t>Em aberto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</si>
</sst>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R$&quot; #,##0.00"/>
    <numFmt numFmtId="166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1F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4" width="12" customWidth="1"/>
    <col min="5" max="5" width="14" customWidth="1"/>
    <col min="6" max="6" width="8" customWidth="1"/>
    <col min="7" max="7" width="14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1" x14ac:dyDescent="0.25">
      <c r="A2" t="s">
        <v>1</v>
      </c>
    </row>
    <row r="4" spans="1:7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25">
      <c r="A5" t="s">
        <v>9</v>
      </c>
      <c r="B5" t="s">
        <v>10</v>
      </c>
      <c r="C5" s="3">
        <v>46266</v>
      </c>
      <c r="D5" s="3">
        <v>46296</v>
      </c>
      <c r="E5" s="4">
        <v>12500</v>
      </c>
      <c r="F5" s="5">
        <v>0</v>
      </c>
      <c r="G5" s="4">
        <f>E5*(1+F5)</f>
        <v>12500</v>
      </c>
    </row>
    <row r="6" spans="1:7" x14ac:dyDescent="0.25">
      <c r="A6" t="s">
        <v>11</v>
      </c>
      <c r="B6" t="s">
        <v>12</v>
      </c>
      <c r="C6" s="3">
        <v>46267</v>
      </c>
      <c r="D6" s="3">
        <v>46298</v>
      </c>
      <c r="E6" s="4">
        <v>8400</v>
      </c>
      <c r="F6" s="5">
        <v>0.02</v>
      </c>
      <c r="G6" s="4">
        <f>E6*(1+F6)</f>
        <v>8568</v>
      </c>
    </row>
    <row r="7" spans="1:7" x14ac:dyDescent="0.25">
      <c r="A7" t="s">
        <v>13</v>
      </c>
      <c r="B7" t="s">
        <v>14</v>
      </c>
      <c r="C7" s="3">
        <v>46268</v>
      </c>
      <c r="D7" s="3">
        <v>46300</v>
      </c>
      <c r="E7" s="4">
        <v>31200</v>
      </c>
      <c r="F7" s="5">
        <v>0</v>
      </c>
      <c r="G7" s="4">
        <f>E7*(1+F7)</f>
        <v>31200</v>
      </c>
    </row>
    <row r="8" spans="1:7" x14ac:dyDescent="0.25">
      <c r="A8" t="s">
        <v>15</v>
      </c>
      <c r="B8" t="s">
        <v>16</v>
      </c>
      <c r="C8" s="3">
        <v>46269</v>
      </c>
      <c r="D8" s="3">
        <v>46302</v>
      </c>
      <c r="E8" s="4">
        <v>4300</v>
      </c>
      <c r="F8" s="5">
        <v>0.01</v>
      </c>
      <c r="G8" s="4">
        <f>E8*(1+F8)</f>
        <v>4343</v>
      </c>
    </row>
    <row r="9" spans="1:7" x14ac:dyDescent="0.25">
      <c r="A9" t="s">
        <v>17</v>
      </c>
      <c r="B9" t="s">
        <v>18</v>
      </c>
      <c r="C9" s="3">
        <v>46270</v>
      </c>
      <c r="D9" s="3">
        <v>46304</v>
      </c>
      <c r="E9" s="4">
        <v>18900</v>
      </c>
      <c r="F9" s="5">
        <v>0</v>
      </c>
      <c r="G9" s="4">
        <f>E9*(1+F9)</f>
        <v>18900</v>
      </c>
    </row>
    <row r="10" spans="1:7" x14ac:dyDescent="0.25">
      <c r="A10" t="s">
        <v>19</v>
      </c>
      <c r="B10" t="s">
        <v>20</v>
      </c>
      <c r="C10" s="3">
        <v>46271</v>
      </c>
      <c r="D10" s="3">
        <v>46306</v>
      </c>
      <c r="E10" s="4">
        <v>7600</v>
      </c>
      <c r="F10" s="5">
        <v>0</v>
      </c>
      <c r="G10" s="4">
        <f>E10*(1+F10)</f>
        <v>7600</v>
      </c>
    </row>
    <row r="11" spans="1:7" x14ac:dyDescent="0.25">
      <c r="A11" t="s">
        <v>21</v>
      </c>
      <c r="B11" t="s">
        <v>22</v>
      </c>
      <c r="C11" s="3">
        <v>46272</v>
      </c>
      <c r="D11" s="3">
        <v>46308</v>
      </c>
      <c r="E11" s="4">
        <v>2900</v>
      </c>
      <c r="F11" s="5">
        <v>0.03</v>
      </c>
      <c r="G11" s="4">
        <f>E11*(1+F11)</f>
        <v>2987</v>
      </c>
    </row>
    <row r="12" spans="1:7" x14ac:dyDescent="0.25">
      <c r="A12" t="s">
        <v>23</v>
      </c>
      <c r="B12" t="s">
        <v>24</v>
      </c>
      <c r="C12" s="3">
        <v>46273</v>
      </c>
      <c r="D12" s="3">
        <v>46310</v>
      </c>
      <c r="E12" s="4">
        <v>15400</v>
      </c>
      <c r="F12" s="5">
        <v>0</v>
      </c>
      <c r="G12" s="4">
        <f>E12*(1+F12)</f>
        <v>15400</v>
      </c>
    </row>
    <row r="13" spans="1:7" x14ac:dyDescent="0.25">
      <c r="A13" t="s">
        <v>25</v>
      </c>
      <c r="B13" t="s">
        <v>26</v>
      </c>
      <c r="C13" s="3">
        <v>46274</v>
      </c>
      <c r="D13" s="3">
        <v>46312</v>
      </c>
      <c r="E13" s="4">
        <v>6100</v>
      </c>
      <c r="F13" s="5">
        <v>0</v>
      </c>
      <c r="G13" s="4">
        <f>E13*(1+F13)</f>
        <v>6100</v>
      </c>
    </row>
    <row r="14" spans="1:7" x14ac:dyDescent="0.25">
      <c r="A14" t="s">
        <v>27</v>
      </c>
      <c r="B14" t="s">
        <v>28</v>
      </c>
      <c r="C14" s="3">
        <v>46275</v>
      </c>
      <c r="D14" s="3">
        <v>46314</v>
      </c>
      <c r="E14" s="4">
        <v>42000</v>
      </c>
      <c r="F14" s="5">
        <v>0.015</v>
      </c>
      <c r="G14" s="4">
        <f>E14*(1+F14)</f>
        <v>42629.99999999999</v>
      </c>
    </row>
    <row r="15" spans="1:7" x14ac:dyDescent="0.25">
      <c r="A15" t="s">
        <v>29</v>
      </c>
      <c r="B15" t="s">
        <v>30</v>
      </c>
      <c r="C15" s="3">
        <v>46276</v>
      </c>
      <c r="D15" s="3">
        <v>46316</v>
      </c>
      <c r="E15" s="4">
        <v>9800</v>
      </c>
      <c r="F15" s="5">
        <v>0</v>
      </c>
      <c r="G15" s="4">
        <f>E15*(1+F15)</f>
        <v>9800</v>
      </c>
    </row>
    <row r="16" spans="1:7" x14ac:dyDescent="0.25">
      <c r="A16" t="s">
        <v>31</v>
      </c>
      <c r="B16" t="s">
        <v>32</v>
      </c>
      <c r="C16" s="3">
        <v>46277</v>
      </c>
      <c r="D16" s="3">
        <v>46318</v>
      </c>
      <c r="E16" s="4">
        <v>3500</v>
      </c>
      <c r="F16" s="5">
        <v>0</v>
      </c>
      <c r="G16" s="4">
        <f>E16*(1+F16)</f>
        <v>3500</v>
      </c>
    </row>
    <row r="17" spans="1:7" x14ac:dyDescent="0.25">
      <c r="A17" t="s">
        <v>9</v>
      </c>
      <c r="B17" t="s">
        <v>33</v>
      </c>
      <c r="C17" s="3">
        <v>46278</v>
      </c>
      <c r="D17" s="3">
        <v>46320</v>
      </c>
      <c r="E17" s="4">
        <v>11200</v>
      </c>
      <c r="F17" s="5">
        <v>0</v>
      </c>
      <c r="G17" s="4">
        <f>E17*(1+F17)</f>
        <v>11200</v>
      </c>
    </row>
    <row r="18" spans="1:7" x14ac:dyDescent="0.25">
      <c r="A18" t="s">
        <v>11</v>
      </c>
      <c r="B18" t="s">
        <v>34</v>
      </c>
      <c r="C18" s="3">
        <v>46279</v>
      </c>
      <c r="D18" s="3">
        <v>46322</v>
      </c>
      <c r="E18" s="4">
        <v>5600</v>
      </c>
      <c r="F18" s="5">
        <v>0.02</v>
      </c>
      <c r="G18" s="4">
        <f>E18*(1+F18)</f>
        <v>5712</v>
      </c>
    </row>
    <row r="19" spans="1:7" x14ac:dyDescent="0.25">
      <c r="A19" s="6" t="s">
        <v>8</v>
      </c>
      <c r="E19" s="7">
        <f>SUM(E5:E18)</f>
        <v>179400</v>
      </c>
      <c r="G19" s="7">
        <f>SUM(G5:G18)</f>
        <v>180440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16" customWidth="1"/>
  </cols>
  <sheetData>
    <row r="1" spans="1:3" s="6" customFormat="1" x14ac:dyDescent="0.25">
      <c r="A1" s="6" t="s">
        <v>2</v>
      </c>
      <c r="B1" s="6" t="s">
        <v>35</v>
      </c>
      <c r="C1" s="6" t="s">
        <v>36</v>
      </c>
    </row>
    <row r="2" spans="1:3" x14ac:dyDescent="0.25">
      <c r="A2" t="s">
        <v>9</v>
      </c>
      <c r="B2">
        <f>COUNTIF('Contas a receber'!A5:A18,A2)</f>
        <v>2</v>
      </c>
      <c r="C2" s="4">
        <f>SUMIF('Contas a receber'!A5:A18,A2,'Contas a receber'!G5:G18)</f>
        <v>23700</v>
      </c>
    </row>
    <row r="3" spans="1:3" x14ac:dyDescent="0.25">
      <c r="A3" t="s">
        <v>29</v>
      </c>
      <c r="B3">
        <f>COUNTIF('Contas a receber'!A5:A18,A3)</f>
        <v>1</v>
      </c>
      <c r="C3" s="4">
        <f>SUMIF('Contas a receber'!A5:A18,A3,'Contas a receber'!G5:G18)</f>
        <v>9800</v>
      </c>
    </row>
    <row r="4" spans="1:3" x14ac:dyDescent="0.25">
      <c r="A4" t="s">
        <v>23</v>
      </c>
      <c r="B4">
        <f>COUNTIF('Contas a receber'!A5:A18,A4)</f>
        <v>1</v>
      </c>
      <c r="C4" s="4">
        <f>SUMIF('Contas a receber'!A5:A18,A4,'Contas a receber'!G5:G18)</f>
        <v>15400</v>
      </c>
    </row>
    <row r="5" spans="1:3" x14ac:dyDescent="0.25">
      <c r="A5" t="s">
        <v>25</v>
      </c>
      <c r="B5">
        <f>COUNTIF('Contas a receber'!A5:A18,A5)</f>
        <v>1</v>
      </c>
      <c r="C5" s="4">
        <f>SUMIF('Contas a receber'!A5:A18,A5,'Contas a receber'!G5:G18)</f>
        <v>6100</v>
      </c>
    </row>
    <row r="6" spans="1:3" x14ac:dyDescent="0.25">
      <c r="A6" t="s">
        <v>15</v>
      </c>
      <c r="B6">
        <f>COUNTIF('Contas a receber'!A5:A18,A6)</f>
        <v>1</v>
      </c>
      <c r="C6" s="4">
        <f>SUMIF('Contas a receber'!A5:A18,A6,'Contas a receber'!G5:G18)</f>
        <v>4343</v>
      </c>
    </row>
    <row r="7" spans="1:3" x14ac:dyDescent="0.25">
      <c r="A7" t="s">
        <v>11</v>
      </c>
      <c r="B7">
        <f>COUNTIF('Contas a receber'!A5:A18,A7)</f>
        <v>2</v>
      </c>
      <c r="C7" s="4">
        <f>SUMIF('Contas a receber'!A5:A18,A7,'Contas a receber'!G5:G18)</f>
        <v>14280</v>
      </c>
    </row>
    <row r="8" spans="1:3" x14ac:dyDescent="0.25">
      <c r="A8" t="s">
        <v>17</v>
      </c>
      <c r="B8">
        <f>COUNTIF('Contas a receber'!A5:A18,A8)</f>
        <v>1</v>
      </c>
      <c r="C8" s="4">
        <f>SUMIF('Contas a receber'!A5:A18,A8,'Contas a receber'!G5:G18)</f>
        <v>18900</v>
      </c>
    </row>
    <row r="9" spans="1:3" x14ac:dyDescent="0.25">
      <c r="A9" t="s">
        <v>27</v>
      </c>
      <c r="B9">
        <f>COUNTIF('Contas a receber'!A5:A18,A9)</f>
        <v>1</v>
      </c>
      <c r="C9" s="4">
        <f>SUMIF('Contas a receber'!A5:A18,A9,'Contas a receber'!G5:G18)</f>
        <v>42629.99999999999</v>
      </c>
    </row>
    <row r="10" spans="1:3" x14ac:dyDescent="0.25">
      <c r="A10" t="s">
        <v>19</v>
      </c>
      <c r="B10">
        <f>COUNTIF('Contas a receber'!A5:A18,A10)</f>
        <v>1</v>
      </c>
      <c r="C10" s="4">
        <f>SUMIF('Contas a receber'!A5:A18,A10,'Contas a receber'!G5:G18)</f>
        <v>7600</v>
      </c>
    </row>
    <row r="11" spans="1:3" x14ac:dyDescent="0.25">
      <c r="A11" t="s">
        <v>21</v>
      </c>
      <c r="B11">
        <f>COUNTIF('Contas a receber'!A5:A18,A11)</f>
        <v>1</v>
      </c>
      <c r="C11" s="4">
        <f>SUMIF('Contas a receber'!A5:A18,A11,'Contas a receber'!G5:G18)</f>
        <v>2987</v>
      </c>
    </row>
    <row r="12" spans="1:3" x14ac:dyDescent="0.25">
      <c r="A12" t="s">
        <v>31</v>
      </c>
      <c r="B12">
        <f>COUNTIF('Contas a receber'!A5:A18,A12)</f>
        <v>1</v>
      </c>
      <c r="C12" s="4">
        <f>SUMIF('Contas a receber'!A5:A18,A12,'Contas a receber'!G5:G18)</f>
        <v>3500</v>
      </c>
    </row>
    <row r="13" spans="1:3" x14ac:dyDescent="0.25">
      <c r="A13" t="s">
        <v>13</v>
      </c>
      <c r="B13">
        <f>COUNTIF('Contas a receber'!A5:A18,A13)</f>
        <v>1</v>
      </c>
      <c r="C13" s="4">
        <f>SUMIF('Contas a receber'!A5:A18,A13,'Contas a receber'!G5:G18)</f>
        <v>31200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Contas a receber</vt:lpstr>
      <vt:lpstr>Resumo por cliente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Contas a receber · outubro 2026</dc:title>
  <dc:subject/>
  <dc:description/>
  <cp:keywords/>
  <cp:category/>
  <cp:lastModifiedBy>Unknown</cp:lastModifiedBy>
  <dcterms:created xsi:type="dcterms:W3CDTF">2026-10-04T20:13:34Z</dcterms:created>
  <dcterms:modified xsi:type="dcterms:W3CDTF">2026-10-04T20:13:34Z</dcterms:modified>
</cp:coreProperties>
</file>